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rechnung" sheetId="1" state="visible" r:id="rId3"/>
    <sheet name="Sätze" sheetId="2" state="visible" r:id="rId4"/>
  </sheets>
  <definedNames>
    <definedName function="false" hidden="false" localSheetId="0" name="_xlnm.Print_Area" vbProcedure="false">Abrechnung!$A$1:$J$68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<sst xmlns="http://schemas.openxmlformats.org/spreadsheetml/2006/main" count="64" uniqueCount="59">
  <si>
    <t xml:space="preserve">Reisekostenabrechnung</t>
  </si>
  <si>
    <t xml:space="preserve">StefanAI Solutions GmbH · Graeffstr. 22, 50823 Köln</t>
  </si>
  <si>
    <t xml:space="preserve">Gelb hinterlegte Felder ausfüllen. Alles Übrige berechnet sich automatisch.</t>
  </si>
  <si>
    <t xml:space="preserve">1. Angaben zur Reise</t>
  </si>
  <si>
    <t xml:space="preserve">Name</t>
  </si>
  <si>
    <t xml:space="preserve">Reiseziel (Ort)</t>
  </si>
  <si>
    <t xml:space="preserve">Kunde / Anlass</t>
  </si>
  <si>
    <t xml:space="preserve">Abreise: Datum</t>
  </si>
  <si>
    <t xml:space="preserve">Dauer gesamt:</t>
  </si>
  <si>
    <t xml:space="preserve">Abreise: Uhrzeit</t>
  </si>
  <si>
    <t xml:space="preserve">Rückkehr: Datum</t>
  </si>
  <si>
    <t xml:space="preserve">Rückkehr: Uhrzeit</t>
  </si>
  <si>
    <t xml:space="preserve">2. Verpflegungspauschale (keine Belege erforderlich)</t>
  </si>
  <si>
    <t xml:space="preserve">Datum</t>
  </si>
  <si>
    <t xml:space="preserve">Abwesenheit</t>
  </si>
  <si>
    <t xml:space="preserve">Frühstück
gestellt</t>
  </si>
  <si>
    <t xml:space="preserve">Mittag
gestellt</t>
  </si>
  <si>
    <t xml:space="preserve">Abend
gestellt</t>
  </si>
  <si>
    <t xml:space="preserve">Grundsatz</t>
  </si>
  <si>
    <t xml:space="preserve">Kürzung</t>
  </si>
  <si>
    <t xml:space="preserve">Pauschale</t>
  </si>
  <si>
    <t xml:space="preserve">Summe Verpflegung</t>
  </si>
  <si>
    <t xml:space="preserve">Kürzung nur, wenn die Mahlzeit von Arbeitgeber, Kunde oder Hotel gestellt wurde. Sätze siehe Blatt „Sätze“.</t>
  </si>
  <si>
    <t xml:space="preserve">3. Fahrtkosten (Beleg beifügen)</t>
  </si>
  <si>
    <t xml:space="preserve">Verkehrsmittel / Strecke</t>
  </si>
  <si>
    <t xml:space="preserve">Betrag</t>
  </si>
  <si>
    <t xml:space="preserve">Privat-Pkw</t>
  </si>
  <si>
    <t xml:space="preserve">gefahrene km:</t>
  </si>
  <si>
    <t xml:space="preserve">× Satz je km</t>
  </si>
  <si>
    <t xml:space="preserve">4. Übernachtung (Rechnung auf die GmbH)</t>
  </si>
  <si>
    <t xml:space="preserve">Hotel / Ort</t>
  </si>
  <si>
    <t xml:space="preserve">5. Reisenebenkosten (Beleg beifügen)</t>
  </si>
  <si>
    <t xml:space="preserve">Art (Parken, ÖPNV, Maut …)</t>
  </si>
  <si>
    <t xml:space="preserve">6. Erstattungsbetrag</t>
  </si>
  <si>
    <t xml:space="preserve">Verpflegungspauschale (steuerfrei)</t>
  </si>
  <si>
    <t xml:space="preserve">Fahrtkosten (Belege)</t>
  </si>
  <si>
    <t xml:space="preserve">Fahrtkosten Privat-Pkw</t>
  </si>
  <si>
    <t xml:space="preserve">Übernachtung</t>
  </si>
  <si>
    <t xml:space="preserve">Reisenebenkosten</t>
  </si>
  <si>
    <t xml:space="preserve">Gesamterstattung</t>
  </si>
  <si>
    <t xml:space="preserve">Anzahl beigefügter Belege:</t>
  </si>
  <si>
    <t xml:space="preserve">Ort, Datum: ______________________</t>
  </si>
  <si>
    <t xml:space="preserve">Unterschrift: ______________________</t>
  </si>
  <si>
    <t xml:space="preserve">Geprüft und freigegeben (Geschäftsführung): ______________________</t>
  </si>
  <si>
    <t xml:space="preserve">Gesetzliche Sätze (Inland)</t>
  </si>
  <si>
    <t xml:space="preserve">Verpflegungspauschale</t>
  </si>
  <si>
    <t xml:space="preserve">Voller Reisetag (24 Std. abwesend)</t>
  </si>
  <si>
    <t xml:space="preserve">An-/Abreisetag bzw. eintägig über 8 Std.</t>
  </si>
  <si>
    <t xml:space="preserve">Abwesenheit unter 8 Std.</t>
  </si>
  <si>
    <t xml:space="preserve">Kürzung bei gestellten Mahlzeiten</t>
  </si>
  <si>
    <t xml:space="preserve">Frühstück (20 % von 28 €)</t>
  </si>
  <si>
    <t xml:space="preserve">Mittagessen (40 % von 28 €)</t>
  </si>
  <si>
    <t xml:space="preserve">Abendessen (40 % von 28 €)</t>
  </si>
  <si>
    <t xml:space="preserve">Fahrtkosten</t>
  </si>
  <si>
    <t xml:space="preserve">Kilometerpauschale Privat-Pkw</t>
  </si>
  <si>
    <t xml:space="preserve">Zuschlag je mitgenommener Person</t>
  </si>
  <si>
    <t xml:space="preserve">Rechtsgrundlage: § 9 Abs. 4a EStG. Inlandssätze seit 2020 unverändert, auch 2026.</t>
  </si>
  <si>
    <t xml:space="preserve">Ändert der Gesetzgeber die Sätze, hier anpassen – die Abrechnung rechnet automatisch neu.</t>
  </si>
  <si>
    <t xml:space="preserve">Auslandsreisen: länderspezifische Sätze des BMF, hier nicht hinterlegt.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</si>
</sst>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&quot;TT.&quot;mm&quot;.JJJJ&quot;"/>
    <numFmt numFmtId="166" formatCode="hh:mm"/>
    <numFmt numFmtId="167" formatCode="#,##0.00&quot; €&quot;;\-#,##0.00&quot; €&quot;;\–"/>
    <numFmt numFmtId="168" formatCode="#,##0.00&quot; €&quot;"/>
    <numFmt numFmtId="169" formatCode="#,##0"/>
    <numFmt numFmtId="170" formatCode="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A1A1A"/>
      <name val="Arial"/>
      <family val="0"/>
      <charset val="1"/>
    </font>
    <font>
      <sz val="9"/>
      <color rgb="FF666666"/>
      <name val="Arial"/>
      <family val="0"/>
      <charset val="1"/>
    </font>
    <font>
      <i val="true"/>
      <sz val="9"/>
      <color rgb="FF8A6D00"/>
      <name val="Arial"/>
      <family val="0"/>
      <charset val="1"/>
    </font>
    <font>
      <b val="true"/>
      <sz val="11"/>
      <color rgb="FF1A1A1A"/>
      <name val="Arial"/>
      <family val="0"/>
      <charset val="1"/>
    </font>
    <font>
      <sz val="10"/>
      <color rgb="FF1A1A1A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name val="Arial"/>
      <family val="0"/>
      <charset val="1"/>
    </font>
    <font>
      <sz val="10"/>
      <name val="Arial"/>
      <family val="0"/>
      <charset val="1"/>
    </font>
    <font>
      <i val="true"/>
      <sz val="8"/>
      <color rgb="FF666666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4"/>
      <color rgb="FF1A1A1A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4E4E4"/>
        <bgColor rgb="FFEFEFEF"/>
      </patternFill>
    </fill>
    <fill>
      <patternFill patternType="solid">
        <fgColor rgb="FFFFF7D6"/>
        <bgColor rgb="FFF2F2F2"/>
      </patternFill>
    </fill>
    <fill>
      <patternFill patternType="solid">
        <fgColor rgb="FFF2F2F2"/>
        <bgColor rgb="FFEFEFEF"/>
      </patternFill>
    </fill>
    <fill>
      <patternFill patternType="solid">
        <fgColor rgb="FFEFEFEF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double">
        <color rgb="FF1A1A1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D00"/>
      <rgbColor rgb="FF800080"/>
      <rgbColor rgb="FF008080"/>
      <rgbColor rgb="FFBFBFBF"/>
      <rgbColor rgb="FF808080"/>
      <rgbColor rgb="FF9999FF"/>
      <rgbColor rgb="FF993366"/>
      <rgbColor rgb="FFFFF7D6"/>
      <rgbColor rgb="FFEFEFEF"/>
      <rgbColor rgb="FF660066"/>
      <rgbColor rgb="FFFF8080"/>
      <rgbColor rgb="FF0066CC"/>
      <rgbColor rgb="FFE4E4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I6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26"/>
    <col collapsed="false" customWidth="true" hidden="false" outlineLevel="0" max="4" min="3" style="0" width="15"/>
    <col collapsed="false" customWidth="true" hidden="false" outlineLevel="0" max="7" min="5" style="0" width="13"/>
    <col collapsed="false" customWidth="true" hidden="false" outlineLevel="0" max="9" min="8" style="0" width="15"/>
    <col collapsed="false" customWidth="true" hidden="false" outlineLevel="0" max="10" min="10" style="0" width="3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7" customFormat="false" ht="15" hidden="false" customHeight="false" outlineLevel="0" collapsed="false">
      <c r="B7" s="4" t="s">
        <v>3</v>
      </c>
      <c r="C7" s="5"/>
      <c r="D7" s="5"/>
      <c r="E7" s="5"/>
      <c r="F7" s="5"/>
      <c r="G7" s="5"/>
      <c r="H7" s="5"/>
      <c r="I7" s="5"/>
    </row>
    <row r="8" customFormat="false" ht="15" hidden="false" customHeight="false" outlineLevel="0" collapsed="false">
      <c r="B8" s="6" t="s">
        <v>4</v>
      </c>
      <c r="C8" s="7"/>
      <c r="D8" s="7"/>
      <c r="E8" s="7"/>
    </row>
    <row r="9" customFormat="false" ht="15" hidden="false" customHeight="false" outlineLevel="0" collapsed="false">
      <c r="B9" s="6" t="s">
        <v>5</v>
      </c>
      <c r="C9" s="7"/>
      <c r="D9" s="7"/>
      <c r="E9" s="7"/>
    </row>
    <row r="10" customFormat="false" ht="15" hidden="false" customHeight="false" outlineLevel="0" collapsed="false">
      <c r="B10" s="6" t="s">
        <v>6</v>
      </c>
      <c r="C10" s="7"/>
      <c r="D10" s="7"/>
      <c r="E10" s="7"/>
    </row>
    <row r="11" customFormat="false" ht="15" hidden="false" customHeight="false" outlineLevel="0" collapsed="false">
      <c r="B11" s="6" t="s">
        <v>7</v>
      </c>
      <c r="C11" s="8"/>
      <c r="F11" s="2" t="s">
        <v>8</v>
      </c>
      <c r="G11" s="9" t="str">
        <f aca="false">IF(OR(C11="",C13=""),"",TEXT((C13+C14)-(C11+C12),"[h]:mm")&amp;" Std.")</f>
        <v/>
      </c>
    </row>
    <row r="12" customFormat="false" ht="15" hidden="false" customHeight="false" outlineLevel="0" collapsed="false">
      <c r="B12" s="6" t="s">
        <v>9</v>
      </c>
      <c r="C12" s="10"/>
    </row>
    <row r="13" customFormat="false" ht="15" hidden="false" customHeight="false" outlineLevel="0" collapsed="false">
      <c r="B13" s="6" t="s">
        <v>10</v>
      </c>
      <c r="C13" s="8"/>
    </row>
    <row r="14" customFormat="false" ht="15" hidden="false" customHeight="false" outlineLevel="0" collapsed="false">
      <c r="B14" s="6" t="s">
        <v>11</v>
      </c>
      <c r="C14" s="10"/>
    </row>
    <row r="16" customFormat="false" ht="15" hidden="false" customHeight="false" outlineLevel="0" collapsed="false">
      <c r="B16" s="4" t="s">
        <v>12</v>
      </c>
      <c r="C16" s="5"/>
      <c r="D16" s="5"/>
      <c r="E16" s="5"/>
      <c r="F16" s="5"/>
      <c r="G16" s="5"/>
      <c r="H16" s="5"/>
      <c r="I16" s="5"/>
    </row>
    <row r="17" customFormat="false" ht="30" hidden="false" customHeight="true" outlineLevel="0" collapsed="false">
      <c r="B17" s="11" t="s">
        <v>13</v>
      </c>
      <c r="C17" s="11" t="s">
        <v>14</v>
      </c>
      <c r="D17" s="11" t="s">
        <v>15</v>
      </c>
      <c r="E17" s="11" t="s">
        <v>16</v>
      </c>
      <c r="F17" s="11" t="s">
        <v>17</v>
      </c>
      <c r="G17" s="11" t="s">
        <v>18</v>
      </c>
      <c r="H17" s="11" t="s">
        <v>19</v>
      </c>
      <c r="I17" s="11" t="s">
        <v>20</v>
      </c>
    </row>
    <row r="18" customFormat="false" ht="15" hidden="false" customHeight="false" outlineLevel="0" collapsed="false">
      <c r="B18" s="12"/>
      <c r="C18" s="13"/>
      <c r="D18" s="13"/>
      <c r="E18" s="13"/>
      <c r="F18" s="13"/>
      <c r="G18" s="14" t="str">
        <f aca="false">IF(C18="","",IF(C18="ganzer Tag",Sätze!$C$4,IF(OR(C18="An-/Abreisetag",C18="über 8 Std."),Sätze!$C$5,0)))</f>
        <v/>
      </c>
      <c r="H18" s="14" t="str">
        <f aca="false">IF(C18="","",MIN(G18,IF(D18="ja",Sätze!$C$8,0)+IF(E18="ja",Sätze!$C$9,0)+IF(F18="ja",Sätze!$C$10,0)))</f>
        <v/>
      </c>
      <c r="I18" s="14" t="str">
        <f aca="false">IF(C18="","",G18-H18)</f>
        <v/>
      </c>
    </row>
    <row r="19" customFormat="false" ht="15" hidden="false" customHeight="false" outlineLevel="0" collapsed="false">
      <c r="B19" s="12"/>
      <c r="C19" s="13"/>
      <c r="D19" s="13"/>
      <c r="E19" s="13"/>
      <c r="F19" s="13"/>
      <c r="G19" s="14" t="str">
        <f aca="false">IF(C19="","",IF(C19="ganzer Tag",Sätze!$C$4,IF(OR(C19="An-/Abreisetag",C19="über 8 Std."),Sätze!$C$5,0)))</f>
        <v/>
      </c>
      <c r="H19" s="14" t="str">
        <f aca="false">IF(C19="","",MIN(G19,IF(D19="ja",Sätze!$C$8,0)+IF(E19="ja",Sätze!$C$9,0)+IF(F19="ja",Sätze!$C$10,0)))</f>
        <v/>
      </c>
      <c r="I19" s="14" t="str">
        <f aca="false">IF(C19="","",G19-H19)</f>
        <v/>
      </c>
    </row>
    <row r="20" customFormat="false" ht="15" hidden="false" customHeight="false" outlineLevel="0" collapsed="false">
      <c r="B20" s="12"/>
      <c r="C20" s="13"/>
      <c r="D20" s="13"/>
      <c r="E20" s="13"/>
      <c r="F20" s="13"/>
      <c r="G20" s="14" t="str">
        <f aca="false">IF(C20="","",IF(C20="ganzer Tag",Sätze!$C$4,IF(OR(C20="An-/Abreisetag",C20="über 8 Std."),Sätze!$C$5,0)))</f>
        <v/>
      </c>
      <c r="H20" s="14" t="str">
        <f aca="false">IF(C20="","",MIN(G20,IF(D20="ja",Sätze!$C$8,0)+IF(E20="ja",Sätze!$C$9,0)+IF(F20="ja",Sätze!$C$10,0)))</f>
        <v/>
      </c>
      <c r="I20" s="14" t="str">
        <f aca="false">IF(C20="","",G20-H20)</f>
        <v/>
      </c>
    </row>
    <row r="21" customFormat="false" ht="15" hidden="false" customHeight="false" outlineLevel="0" collapsed="false">
      <c r="B21" s="12"/>
      <c r="C21" s="13"/>
      <c r="D21" s="13"/>
      <c r="E21" s="13"/>
      <c r="F21" s="13"/>
      <c r="G21" s="14" t="str">
        <f aca="false">IF(C21="","",IF(C21="ganzer Tag",Sätze!$C$4,IF(OR(C21="An-/Abreisetag",C21="über 8 Std."),Sätze!$C$5,0)))</f>
        <v/>
      </c>
      <c r="H21" s="14" t="str">
        <f aca="false">IF(C21="","",MIN(G21,IF(D21="ja",Sätze!$C$8,0)+IF(E21="ja",Sätze!$C$9,0)+IF(F21="ja",Sätze!$C$10,0)))</f>
        <v/>
      </c>
      <c r="I21" s="14" t="str">
        <f aca="false">IF(C21="","",G21-H21)</f>
        <v/>
      </c>
    </row>
    <row r="22" customFormat="false" ht="15" hidden="false" customHeight="false" outlineLevel="0" collapsed="false">
      <c r="B22" s="12"/>
      <c r="C22" s="13"/>
      <c r="D22" s="13"/>
      <c r="E22" s="13"/>
      <c r="F22" s="13"/>
      <c r="G22" s="14" t="str">
        <f aca="false">IF(C22="","",IF(C22="ganzer Tag",Sätze!$C$4,IF(OR(C22="An-/Abreisetag",C22="über 8 Std."),Sätze!$C$5,0)))</f>
        <v/>
      </c>
      <c r="H22" s="14" t="str">
        <f aca="false">IF(C22="","",MIN(G22,IF(D22="ja",Sätze!$C$8,0)+IF(E22="ja",Sätze!$C$9,0)+IF(F22="ja",Sätze!$C$10,0)))</f>
        <v/>
      </c>
      <c r="I22" s="14" t="str">
        <f aca="false">IF(C22="","",G22-H22)</f>
        <v/>
      </c>
    </row>
    <row r="23" customFormat="false" ht="15" hidden="false" customHeight="false" outlineLevel="0" collapsed="false">
      <c r="B23" s="12"/>
      <c r="C23" s="13"/>
      <c r="D23" s="13"/>
      <c r="E23" s="13"/>
      <c r="F23" s="13"/>
      <c r="G23" s="14" t="str">
        <f aca="false">IF(C23="","",IF(C23="ganzer Tag",Sätze!$C$4,IF(OR(C23="An-/Abreisetag",C23="über 8 Std."),Sätze!$C$5,0)))</f>
        <v/>
      </c>
      <c r="H23" s="14" t="str">
        <f aca="false">IF(C23="","",MIN(G23,IF(D23="ja",Sätze!$C$8,0)+IF(E23="ja",Sätze!$C$9,0)+IF(F23="ja",Sätze!$C$10,0)))</f>
        <v/>
      </c>
      <c r="I23" s="14" t="str">
        <f aca="false">IF(C23="","",G23-H23)</f>
        <v/>
      </c>
    </row>
    <row r="24" customFormat="false" ht="15" hidden="false" customHeight="false" outlineLevel="0" collapsed="false">
      <c r="B24" s="12"/>
      <c r="C24" s="13"/>
      <c r="D24" s="13"/>
      <c r="E24" s="13"/>
      <c r="F24" s="13"/>
      <c r="G24" s="14" t="str">
        <f aca="false">IF(C24="","",IF(C24="ganzer Tag",Sätze!$C$4,IF(OR(C24="An-/Abreisetag",C24="über 8 Std."),Sätze!$C$5,0)))</f>
        <v/>
      </c>
      <c r="H24" s="14" t="str">
        <f aca="false">IF(C24="","",MIN(G24,IF(D24="ja",Sätze!$C$8,0)+IF(E24="ja",Sätze!$C$9,0)+IF(F24="ja",Sätze!$C$10,0)))</f>
        <v/>
      </c>
      <c r="I24" s="14" t="str">
        <f aca="false">IF(C24="","",G24-H24)</f>
        <v/>
      </c>
    </row>
    <row r="25" customFormat="false" ht="15" hidden="false" customHeight="false" outlineLevel="0" collapsed="false">
      <c r="B25" s="12"/>
      <c r="C25" s="13"/>
      <c r="D25" s="13"/>
      <c r="E25" s="13"/>
      <c r="F25" s="13"/>
      <c r="G25" s="14" t="str">
        <f aca="false">IF(C25="","",IF(C25="ganzer Tag",Sätze!$C$4,IF(OR(C25="An-/Abreisetag",C25="über 8 Std."),Sätze!$C$5,0)))</f>
        <v/>
      </c>
      <c r="H25" s="14" t="str">
        <f aca="false">IF(C25="","",MIN(G25,IF(D25="ja",Sätze!$C$8,0)+IF(E25="ja",Sätze!$C$9,0)+IF(F25="ja",Sätze!$C$10,0)))</f>
        <v/>
      </c>
      <c r="I25" s="14" t="str">
        <f aca="false">IF(C25="","",G25-H25)</f>
        <v/>
      </c>
    </row>
    <row r="26" customFormat="false" ht="15" hidden="false" customHeight="false" outlineLevel="0" collapsed="false">
      <c r="B26" s="12"/>
      <c r="C26" s="13"/>
      <c r="D26" s="13"/>
      <c r="E26" s="13"/>
      <c r="F26" s="13"/>
      <c r="G26" s="14" t="str">
        <f aca="false">IF(C26="","",IF(C26="ganzer Tag",Sätze!$C$4,IF(OR(C26="An-/Abreisetag",C26="über 8 Std."),Sätze!$C$5,0)))</f>
        <v/>
      </c>
      <c r="H26" s="14" t="str">
        <f aca="false">IF(C26="","",MIN(G26,IF(D26="ja",Sätze!$C$8,0)+IF(E26="ja",Sätze!$C$9,0)+IF(F26="ja",Sätze!$C$10,0)))</f>
        <v/>
      </c>
      <c r="I26" s="14" t="str">
        <f aca="false">IF(C26="","",G26-H26)</f>
        <v/>
      </c>
    </row>
    <row r="27" customFormat="false" ht="15" hidden="false" customHeight="false" outlineLevel="0" collapsed="false">
      <c r="B27" s="12"/>
      <c r="C27" s="13"/>
      <c r="D27" s="13"/>
      <c r="E27" s="13"/>
      <c r="F27" s="13"/>
      <c r="G27" s="14" t="str">
        <f aca="false">IF(C27="","",IF(C27="ganzer Tag",Sätze!$C$4,IF(OR(C27="An-/Abreisetag",C27="über 8 Std."),Sätze!$C$5,0)))</f>
        <v/>
      </c>
      <c r="H27" s="14" t="str">
        <f aca="false">IF(C27="","",MIN(G27,IF(D27="ja",Sätze!$C$8,0)+IF(E27="ja",Sätze!$C$9,0)+IF(F27="ja",Sätze!$C$10,0)))</f>
        <v/>
      </c>
      <c r="I27" s="14" t="str">
        <f aca="false">IF(C27="","",G27-H27)</f>
        <v/>
      </c>
    </row>
    <row r="28" customFormat="false" ht="15" hidden="false" customHeight="false" outlineLevel="0" collapsed="false">
      <c r="H28" s="15" t="s">
        <v>21</v>
      </c>
      <c r="I28" s="16" t="n">
        <f aca="false">SUM(I18:I27)</f>
        <v>0</v>
      </c>
    </row>
    <row r="29" customFormat="false" ht="15" hidden="false" customHeight="false" outlineLevel="0" collapsed="false">
      <c r="B29" s="17" t="s">
        <v>22</v>
      </c>
    </row>
    <row r="31" customFormat="false" ht="15" hidden="false" customHeight="false" outlineLevel="0" collapsed="false">
      <c r="B31" s="4" t="s">
        <v>23</v>
      </c>
      <c r="C31" s="5"/>
      <c r="D31" s="5"/>
      <c r="E31" s="5"/>
      <c r="F31" s="5"/>
      <c r="G31" s="5"/>
      <c r="H31" s="5"/>
      <c r="I31" s="5"/>
    </row>
    <row r="32" customFormat="false" ht="15" hidden="false" customHeight="false" outlineLevel="0" collapsed="false">
      <c r="B32" s="18" t="s">
        <v>13</v>
      </c>
      <c r="C32" s="18" t="s">
        <v>24</v>
      </c>
      <c r="D32" s="18"/>
      <c r="E32" s="18"/>
      <c r="F32" s="18"/>
      <c r="G32" s="18"/>
      <c r="H32" s="18"/>
      <c r="I32" s="18" t="s">
        <v>25</v>
      </c>
    </row>
    <row r="33" customFormat="false" ht="15" hidden="false" customHeight="false" outlineLevel="0" collapsed="false">
      <c r="B33" s="8"/>
      <c r="C33" s="7"/>
      <c r="D33" s="7"/>
      <c r="E33" s="7"/>
      <c r="F33" s="7"/>
      <c r="G33" s="7"/>
      <c r="H33" s="7"/>
      <c r="I33" s="19"/>
    </row>
    <row r="34" customFormat="false" ht="15" hidden="false" customHeight="false" outlineLevel="0" collapsed="false">
      <c r="B34" s="8"/>
      <c r="C34" s="7"/>
      <c r="D34" s="7"/>
      <c r="E34" s="7"/>
      <c r="F34" s="7"/>
      <c r="G34" s="7"/>
      <c r="H34" s="7"/>
      <c r="I34" s="19"/>
    </row>
    <row r="35" customFormat="false" ht="15" hidden="false" customHeight="false" outlineLevel="0" collapsed="false">
      <c r="B35" s="8"/>
      <c r="C35" s="7"/>
      <c r="D35" s="7"/>
      <c r="E35" s="7"/>
      <c r="F35" s="7"/>
      <c r="G35" s="7"/>
      <c r="H35" s="7"/>
      <c r="I35" s="19"/>
    </row>
    <row r="36" customFormat="false" ht="15" hidden="false" customHeight="false" outlineLevel="0" collapsed="false">
      <c r="B36" s="8"/>
      <c r="C36" s="7"/>
      <c r="D36" s="7"/>
      <c r="E36" s="7"/>
      <c r="F36" s="7"/>
      <c r="G36" s="7"/>
      <c r="H36" s="7"/>
      <c r="I36" s="19"/>
    </row>
    <row r="37" customFormat="false" ht="15" hidden="false" customHeight="false" outlineLevel="0" collapsed="false">
      <c r="B37" s="8"/>
      <c r="C37" s="7"/>
      <c r="D37" s="7"/>
      <c r="E37" s="7"/>
      <c r="F37" s="7"/>
      <c r="G37" s="7"/>
      <c r="H37" s="7"/>
      <c r="I37" s="19"/>
    </row>
    <row r="38" customFormat="false" ht="15" hidden="false" customHeight="false" outlineLevel="0" collapsed="false">
      <c r="B38" s="20" t="s">
        <v>26</v>
      </c>
      <c r="C38" s="6" t="s">
        <v>27</v>
      </c>
      <c r="D38" s="21"/>
      <c r="E38" s="2" t="s">
        <v>28</v>
      </c>
      <c r="F38" s="22" t="n">
        <f aca="false">Sätze!$C$13</f>
        <v>0.3</v>
      </c>
      <c r="I38" s="23" t="n">
        <f aca="false">IF(D38="",0,D38*F38)</f>
        <v>0</v>
      </c>
    </row>
    <row r="40" customFormat="false" ht="15" hidden="false" customHeight="false" outlineLevel="0" collapsed="false">
      <c r="B40" s="4" t="s">
        <v>29</v>
      </c>
      <c r="C40" s="5"/>
      <c r="D40" s="5"/>
      <c r="E40" s="5"/>
      <c r="F40" s="5"/>
      <c r="G40" s="5"/>
      <c r="H40" s="5"/>
      <c r="I40" s="5"/>
    </row>
    <row r="41" customFormat="false" ht="15" hidden="false" customHeight="false" outlineLevel="0" collapsed="false">
      <c r="B41" s="18" t="s">
        <v>13</v>
      </c>
      <c r="C41" s="18" t="s">
        <v>30</v>
      </c>
      <c r="D41" s="18"/>
      <c r="E41" s="18"/>
      <c r="F41" s="18"/>
      <c r="G41" s="18"/>
      <c r="H41" s="18"/>
      <c r="I41" s="18" t="s">
        <v>25</v>
      </c>
    </row>
    <row r="42" customFormat="false" ht="15" hidden="false" customHeight="false" outlineLevel="0" collapsed="false">
      <c r="B42" s="8"/>
      <c r="C42" s="7"/>
      <c r="D42" s="7"/>
      <c r="E42" s="7"/>
      <c r="F42" s="7"/>
      <c r="G42" s="7"/>
      <c r="H42" s="7"/>
      <c r="I42" s="19"/>
    </row>
    <row r="43" customFormat="false" ht="15" hidden="false" customHeight="false" outlineLevel="0" collapsed="false">
      <c r="B43" s="8"/>
      <c r="C43" s="7"/>
      <c r="D43" s="7"/>
      <c r="E43" s="7"/>
      <c r="F43" s="7"/>
      <c r="G43" s="7"/>
      <c r="H43" s="7"/>
      <c r="I43" s="19"/>
    </row>
    <row r="44" customFormat="false" ht="15" hidden="false" customHeight="false" outlineLevel="0" collapsed="false">
      <c r="B44" s="8"/>
      <c r="C44" s="7"/>
      <c r="D44" s="7"/>
      <c r="E44" s="7"/>
      <c r="F44" s="7"/>
      <c r="G44" s="7"/>
      <c r="H44" s="7"/>
      <c r="I44" s="19"/>
    </row>
    <row r="45" customFormat="false" ht="15" hidden="false" customHeight="false" outlineLevel="0" collapsed="false">
      <c r="B45" s="8"/>
      <c r="C45" s="7"/>
      <c r="D45" s="7"/>
      <c r="E45" s="7"/>
      <c r="F45" s="7"/>
      <c r="G45" s="7"/>
      <c r="H45" s="7"/>
      <c r="I45" s="19"/>
    </row>
    <row r="46" customFormat="false" ht="15" hidden="false" customHeight="false" outlineLevel="0" collapsed="false">
      <c r="B46" s="8"/>
      <c r="C46" s="7"/>
      <c r="D46" s="7"/>
      <c r="E46" s="7"/>
      <c r="F46" s="7"/>
      <c r="G46" s="7"/>
      <c r="H46" s="7"/>
      <c r="I46" s="19"/>
    </row>
    <row r="48" customFormat="false" ht="15" hidden="false" customHeight="false" outlineLevel="0" collapsed="false">
      <c r="B48" s="4" t="s">
        <v>31</v>
      </c>
      <c r="C48" s="5"/>
      <c r="D48" s="5"/>
      <c r="E48" s="5"/>
      <c r="F48" s="5"/>
      <c r="G48" s="5"/>
      <c r="H48" s="5"/>
      <c r="I48" s="5"/>
    </row>
    <row r="49" customFormat="false" ht="15" hidden="false" customHeight="false" outlineLevel="0" collapsed="false">
      <c r="B49" s="18" t="s">
        <v>13</v>
      </c>
      <c r="C49" s="18" t="s">
        <v>32</v>
      </c>
      <c r="D49" s="18"/>
      <c r="E49" s="18"/>
      <c r="F49" s="18"/>
      <c r="G49" s="18"/>
      <c r="H49" s="18"/>
      <c r="I49" s="18" t="s">
        <v>25</v>
      </c>
    </row>
    <row r="50" customFormat="false" ht="15" hidden="false" customHeight="false" outlineLevel="0" collapsed="false">
      <c r="B50" s="8"/>
      <c r="C50" s="7"/>
      <c r="D50" s="7"/>
      <c r="E50" s="7"/>
      <c r="F50" s="7"/>
      <c r="G50" s="7"/>
      <c r="H50" s="7"/>
      <c r="I50" s="19"/>
    </row>
    <row r="51" customFormat="false" ht="15" hidden="false" customHeight="false" outlineLevel="0" collapsed="false">
      <c r="B51" s="8"/>
      <c r="C51" s="7"/>
      <c r="D51" s="7"/>
      <c r="E51" s="7"/>
      <c r="F51" s="7"/>
      <c r="G51" s="7"/>
      <c r="H51" s="7"/>
      <c r="I51" s="19"/>
    </row>
    <row r="52" customFormat="false" ht="15" hidden="false" customHeight="false" outlineLevel="0" collapsed="false">
      <c r="B52" s="8"/>
      <c r="C52" s="7"/>
      <c r="D52" s="7"/>
      <c r="E52" s="7"/>
      <c r="F52" s="7"/>
      <c r="G52" s="7"/>
      <c r="H52" s="7"/>
      <c r="I52" s="19"/>
    </row>
    <row r="53" customFormat="false" ht="15" hidden="false" customHeight="false" outlineLevel="0" collapsed="false">
      <c r="B53" s="8"/>
      <c r="C53" s="7"/>
      <c r="D53" s="7"/>
      <c r="E53" s="7"/>
      <c r="F53" s="7"/>
      <c r="G53" s="7"/>
      <c r="H53" s="7"/>
      <c r="I53" s="19"/>
    </row>
    <row r="54" customFormat="false" ht="15" hidden="false" customHeight="false" outlineLevel="0" collapsed="false">
      <c r="B54" s="8"/>
      <c r="C54" s="7"/>
      <c r="D54" s="7"/>
      <c r="E54" s="7"/>
      <c r="F54" s="7"/>
      <c r="G54" s="7"/>
      <c r="H54" s="7"/>
      <c r="I54" s="19"/>
    </row>
    <row r="56" customFormat="false" ht="15" hidden="false" customHeight="false" outlineLevel="0" collapsed="false">
      <c r="B56" s="4" t="s">
        <v>33</v>
      </c>
      <c r="C56" s="5"/>
      <c r="D56" s="5"/>
      <c r="E56" s="5"/>
      <c r="F56" s="5"/>
      <c r="G56" s="5"/>
      <c r="H56" s="5"/>
      <c r="I56" s="5"/>
    </row>
    <row r="57" customFormat="false" ht="15" hidden="false" customHeight="false" outlineLevel="0" collapsed="false">
      <c r="B57" s="6" t="s">
        <v>34</v>
      </c>
      <c r="I57" s="24" t="n">
        <f aca="false">I28</f>
        <v>0</v>
      </c>
    </row>
    <row r="58" customFormat="false" ht="15" hidden="false" customHeight="false" outlineLevel="0" collapsed="false">
      <c r="B58" s="6" t="s">
        <v>35</v>
      </c>
      <c r="I58" s="24" t="n">
        <f aca="false">SUM(I33:I37)</f>
        <v>0</v>
      </c>
    </row>
    <row r="59" customFormat="false" ht="15" hidden="false" customHeight="false" outlineLevel="0" collapsed="false">
      <c r="B59" s="6" t="s">
        <v>36</v>
      </c>
      <c r="I59" s="24" t="n">
        <f aca="false">I38</f>
        <v>0</v>
      </c>
    </row>
    <row r="60" customFormat="false" ht="15" hidden="false" customHeight="false" outlineLevel="0" collapsed="false">
      <c r="B60" s="6" t="s">
        <v>37</v>
      </c>
      <c r="I60" s="24" t="n">
        <f aca="false">SUM(I42:I46)</f>
        <v>0</v>
      </c>
    </row>
    <row r="61" customFormat="false" ht="15" hidden="false" customHeight="false" outlineLevel="0" collapsed="false">
      <c r="B61" s="6" t="s">
        <v>38</v>
      </c>
      <c r="I61" s="24" t="n">
        <f aca="false">SUM(I50:I54)</f>
        <v>0</v>
      </c>
    </row>
    <row r="62" customFormat="false" ht="15" hidden="false" customHeight="false" outlineLevel="0" collapsed="false">
      <c r="B62" s="25" t="s">
        <v>39</v>
      </c>
      <c r="I62" s="26" t="n">
        <f aca="false">SUM(I57:I61)</f>
        <v>0</v>
      </c>
    </row>
    <row r="64" customFormat="false" ht="15" hidden="false" customHeight="false" outlineLevel="0" collapsed="false">
      <c r="B64" s="6" t="s">
        <v>40</v>
      </c>
      <c r="D64" s="27"/>
    </row>
    <row r="66" customFormat="false" ht="15" hidden="false" customHeight="false" outlineLevel="0" collapsed="false">
      <c r="B66" s="6" t="s">
        <v>41</v>
      </c>
      <c r="F66" s="6" t="s">
        <v>42</v>
      </c>
    </row>
    <row r="68" customFormat="false" ht="15" hidden="false" customHeight="false" outlineLevel="0" collapsed="false">
      <c r="B68" s="28" t="s">
        <v>43</v>
      </c>
    </row>
  </sheetData>
  <mergeCells count="21">
    <mergeCell ref="C8:E8"/>
    <mergeCell ref="C9:E9"/>
    <mergeCell ref="C10:E10"/>
    <mergeCell ref="C32:H32"/>
    <mergeCell ref="C33:H33"/>
    <mergeCell ref="C34:H34"/>
    <mergeCell ref="C35:H35"/>
    <mergeCell ref="C36:H36"/>
    <mergeCell ref="C37:H37"/>
    <mergeCell ref="C41:H41"/>
    <mergeCell ref="C42:H42"/>
    <mergeCell ref="C43:H43"/>
    <mergeCell ref="C44:H44"/>
    <mergeCell ref="C45:H45"/>
    <mergeCell ref="C46:H46"/>
    <mergeCell ref="C49:H49"/>
    <mergeCell ref="C50:H50"/>
    <mergeCell ref="C51:H51"/>
    <mergeCell ref="C52:H52"/>
    <mergeCell ref="C53:H53"/>
    <mergeCell ref="C54:H54"/>
  </mergeCells>
  <dataValidations count="2">
    <dataValidation allowBlank="true" errorStyle="stop" operator="between" showDropDown="false" showErrorMessage="false" showInputMessage="false" sqref="C18:C27" type="list">
      <formula1>"ganzer Tag,An-/Abreisetag,über 8 Std.,unter 8 Std."</formula1>
      <formula2>0</formula2>
    </dataValidation>
    <dataValidation allowBlank="true" errorStyle="stop" operator="between" showDropDown="false" showErrorMessage="false" showInputMessage="false" sqref="D18:F27" type="list">
      <formula1>"ja,nein"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46"/>
    <col collapsed="false" customWidth="true" hidden="false" outlineLevel="0" max="3" min="3" style="0" width="14"/>
  </cols>
  <sheetData>
    <row r="2" customFormat="false" ht="17.35" hidden="false" customHeight="false" outlineLevel="0" collapsed="false">
      <c r="B2" s="29" t="s">
        <v>44</v>
      </c>
    </row>
    <row r="3" customFormat="false" ht="15" hidden="false" customHeight="false" outlineLevel="0" collapsed="false">
      <c r="B3" s="30" t="s">
        <v>45</v>
      </c>
      <c r="C3" s="31"/>
    </row>
    <row r="4" customFormat="false" ht="15" hidden="false" customHeight="false" outlineLevel="0" collapsed="false">
      <c r="B4" s="6" t="s">
        <v>46</v>
      </c>
      <c r="C4" s="32" t="n">
        <v>28</v>
      </c>
    </row>
    <row r="5" customFormat="false" ht="15" hidden="false" customHeight="false" outlineLevel="0" collapsed="false">
      <c r="B5" s="6" t="s">
        <v>47</v>
      </c>
      <c r="C5" s="32" t="n">
        <v>14</v>
      </c>
    </row>
    <row r="6" customFormat="false" ht="15" hidden="false" customHeight="false" outlineLevel="0" collapsed="false">
      <c r="B6" s="6" t="s">
        <v>48</v>
      </c>
      <c r="C6" s="32" t="n">
        <v>0</v>
      </c>
    </row>
    <row r="7" customFormat="false" ht="15" hidden="false" customHeight="false" outlineLevel="0" collapsed="false">
      <c r="B7" s="30" t="s">
        <v>49</v>
      </c>
      <c r="C7" s="31"/>
    </row>
    <row r="8" customFormat="false" ht="15" hidden="false" customHeight="false" outlineLevel="0" collapsed="false">
      <c r="B8" s="6" t="s">
        <v>50</v>
      </c>
      <c r="C8" s="32" t="n">
        <v>5.6</v>
      </c>
    </row>
    <row r="9" customFormat="false" ht="15" hidden="false" customHeight="false" outlineLevel="0" collapsed="false">
      <c r="B9" s="6" t="s">
        <v>51</v>
      </c>
      <c r="C9" s="32" t="n">
        <v>11.2</v>
      </c>
    </row>
    <row r="10" customFormat="false" ht="15" hidden="false" customHeight="false" outlineLevel="0" collapsed="false">
      <c r="B10" s="6" t="s">
        <v>52</v>
      </c>
      <c r="C10" s="32" t="n">
        <v>11.2</v>
      </c>
    </row>
    <row r="12" customFormat="false" ht="15" hidden="false" customHeight="false" outlineLevel="0" collapsed="false">
      <c r="B12" s="30" t="s">
        <v>53</v>
      </c>
      <c r="C12" s="31"/>
    </row>
    <row r="13" customFormat="false" ht="15" hidden="false" customHeight="false" outlineLevel="0" collapsed="false">
      <c r="B13" s="6" t="s">
        <v>54</v>
      </c>
      <c r="C13" s="32" t="n">
        <v>0.3</v>
      </c>
    </row>
    <row r="14" customFormat="false" ht="15" hidden="false" customHeight="false" outlineLevel="0" collapsed="false">
      <c r="B14" s="6" t="s">
        <v>55</v>
      </c>
      <c r="C14" s="32" t="n">
        <v>0.02</v>
      </c>
    </row>
    <row r="16" customFormat="false" ht="15" hidden="false" customHeight="false" outlineLevel="0" collapsed="false">
      <c r="B16" s="33" t="s">
        <v>56</v>
      </c>
    </row>
    <row r="17" customFormat="false" ht="15" hidden="false" customHeight="false" outlineLevel="0" collapsed="false">
      <c r="B17" s="33" t="s">
        <v>57</v>
      </c>
    </row>
    <row r="19" customFormat="false" ht="15" hidden="false" customHeight="false" outlineLevel="0" collapsed="false">
      <c r="B19" s="33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2026-07-20T15:09:13Z</dcterms:created>
  <dc:creator>openpyxl</dc:creator>
  <dc:description/>
  <dc:language>en-US</dc:language>
  <cp:lastModifiedBy/>
  <dcterms:modified xsi:type="dcterms:W3CDTF">2026-07-20T15:09:13Z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